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reless Subscriber Ba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<sst xmlns="http://schemas.openxmlformats.org/spreadsheetml/2006/main" count="50" uniqueCount="37">
  <si>
    <t xml:space="preserve">Wireless (Mobile) Subscriber Base — TRAI Data (May-26 / Jun-26)</t>
  </si>
  <si>
    <t xml:space="preserve">Service Area</t>
  </si>
  <si>
    <t xml:space="preserve">Bharti Airtel</t>
  </si>
  <si>
    <t xml:space="preserve">Reliance Com.</t>
  </si>
  <si>
    <t xml:space="preserve">Vodafone Idea</t>
  </si>
  <si>
    <t xml:space="preserve">BSNL</t>
  </si>
  <si>
    <t xml:space="preserve">MTNL</t>
  </si>
  <si>
    <t xml:space="preserve">Reliance Jio</t>
  </si>
  <si>
    <t xml:space="preserve">Total</t>
  </si>
  <si>
    <t xml:space="preserve">Net Addition</t>
  </si>
  <si>
    <t xml:space="preserve">May-26</t>
  </si>
  <si>
    <t xml:space="preserve">Jun-26</t>
  </si>
  <si>
    <t xml:space="preserve">Andhra Pradesh</t>
  </si>
  <si>
    <t xml:space="preserve">Assam</t>
  </si>
  <si>
    <t xml:space="preserve">Bihar</t>
  </si>
  <si>
    <t xml:space="preserve">Delhi</t>
  </si>
  <si>
    <t xml:space="preserve">Gujarat</t>
  </si>
  <si>
    <t xml:space="preserve">Haryana</t>
  </si>
  <si>
    <t xml:space="preserve">Himachal Pradesh</t>
  </si>
  <si>
    <t xml:space="preserve">J &amp; K</t>
  </si>
  <si>
    <t xml:space="preserve">Karnataka</t>
  </si>
  <si>
    <t xml:space="preserve">Kerala</t>
  </si>
  <si>
    <t xml:space="preserve">Kolkata</t>
  </si>
  <si>
    <t xml:space="preserve">Madhya Pradesh</t>
  </si>
  <si>
    <t xml:space="preserve">Maharashtra</t>
  </si>
  <si>
    <t xml:space="preserve">Mumbai</t>
  </si>
  <si>
    <t xml:space="preserve">North East</t>
  </si>
  <si>
    <t xml:space="preserve">Odisha</t>
  </si>
  <si>
    <t xml:space="preserve">Punjab</t>
  </si>
  <si>
    <t xml:space="preserve">Rajasthan</t>
  </si>
  <si>
    <t xml:space="preserve">Tamil Nadu</t>
  </si>
  <si>
    <t xml:space="preserve">U.P.(E)</t>
  </si>
  <si>
    <t xml:space="preserve">U.P.(W)</t>
  </si>
  <si>
    <t xml:space="preserve">West Bengal</t>
  </si>
  <si>
    <t xml:space="preserve">Net Addition (Operator-wise)</t>
  </si>
  <si>
    <t xml:space="preserve">Rural Subscribers</t>
  </si>
  <si>
    <t xml:space="preserve">Source: TRAI, RP-2/9/(4)/2025-NSL-II, Annexure-I/II (as uploaded by user)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</si>
</sst>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i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6" min="2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true" outlineLevel="0" collapsed="false">
      <c r="A3" s="2" t="s">
        <v>1</v>
      </c>
      <c r="B3" s="3" t="s">
        <v>2</v>
      </c>
      <c r="C3" s="3"/>
      <c r="D3" s="3" t="s">
        <v>3</v>
      </c>
      <c r="E3" s="3"/>
      <c r="F3" s="3" t="s">
        <v>4</v>
      </c>
      <c r="G3" s="3"/>
      <c r="H3" s="3" t="s">
        <v>5</v>
      </c>
      <c r="I3" s="3"/>
      <c r="J3" s="3" t="s">
        <v>6</v>
      </c>
      <c r="K3" s="3"/>
      <c r="L3" s="3" t="s">
        <v>7</v>
      </c>
      <c r="M3" s="3"/>
      <c r="N3" s="3" t="s">
        <v>8</v>
      </c>
      <c r="O3" s="3"/>
      <c r="P3" s="2" t="s">
        <v>9</v>
      </c>
    </row>
    <row r="4" customFormat="false" ht="15" hidden="false" customHeight="false" outlineLevel="0" collapsed="false">
      <c r="A4" s="2"/>
      <c r="B4" s="3" t="s">
        <v>10</v>
      </c>
      <c r="C4" s="3" t="s">
        <v>11</v>
      </c>
      <c r="D4" s="3" t="s">
        <v>10</v>
      </c>
      <c r="E4" s="3" t="s">
        <v>11</v>
      </c>
      <c r="F4" s="3" t="s">
        <v>10</v>
      </c>
      <c r="G4" s="3" t="s">
        <v>11</v>
      </c>
      <c r="H4" s="3" t="s">
        <v>10</v>
      </c>
      <c r="I4" s="3" t="s">
        <v>11</v>
      </c>
      <c r="J4" s="3" t="s">
        <v>10</v>
      </c>
      <c r="K4" s="3" t="s">
        <v>11</v>
      </c>
      <c r="L4" s="3" t="s">
        <v>10</v>
      </c>
      <c r="M4" s="3" t="s">
        <v>11</v>
      </c>
      <c r="N4" s="3" t="s">
        <v>10</v>
      </c>
      <c r="O4" s="3" t="s">
        <v>11</v>
      </c>
      <c r="P4" s="2"/>
    </row>
    <row r="5" customFormat="false" ht="15" hidden="false" customHeight="false" outlineLevel="0" collapsed="false">
      <c r="A5" s="4" t="s">
        <v>12</v>
      </c>
      <c r="B5" s="5" t="n">
        <v>39092047</v>
      </c>
      <c r="C5" s="5" t="n">
        <v>39412884</v>
      </c>
      <c r="D5" s="5" t="n">
        <v>0</v>
      </c>
      <c r="E5" s="5" t="n">
        <v>0</v>
      </c>
      <c r="F5" s="5" t="n">
        <v>8753635</v>
      </c>
      <c r="G5" s="5" t="n">
        <v>8729360</v>
      </c>
      <c r="H5" s="5" t="n">
        <v>7535550</v>
      </c>
      <c r="I5" s="5" t="n">
        <v>7577013</v>
      </c>
      <c r="J5" s="5"/>
      <c r="K5" s="5"/>
      <c r="L5" s="5" t="n">
        <v>32401558</v>
      </c>
      <c r="M5" s="5" t="n">
        <v>32580104</v>
      </c>
      <c r="N5" s="6" t="n">
        <f aca="false">B5+D5+F5+H5+J5+L5</f>
        <v>87782790</v>
      </c>
      <c r="O5" s="6" t="n">
        <f aca="false">C5+E5+G5+I5+K5+M5</f>
        <v>88299361</v>
      </c>
      <c r="P5" s="5" t="n">
        <f aca="false">O5-N5</f>
        <v>516571</v>
      </c>
    </row>
    <row r="6" customFormat="false" ht="15" hidden="false" customHeight="false" outlineLevel="0" collapsed="false">
      <c r="A6" s="4" t="s">
        <v>13</v>
      </c>
      <c r="B6" s="5" t="n">
        <v>14928274</v>
      </c>
      <c r="C6" s="5" t="n">
        <v>15052205</v>
      </c>
      <c r="D6" s="5" t="n">
        <v>0</v>
      </c>
      <c r="E6" s="5" t="n">
        <v>0</v>
      </c>
      <c r="F6" s="5" t="n">
        <v>1497691</v>
      </c>
      <c r="G6" s="5" t="n">
        <v>1514448</v>
      </c>
      <c r="H6" s="5" t="n">
        <v>2917852</v>
      </c>
      <c r="I6" s="5" t="n">
        <v>2907824</v>
      </c>
      <c r="J6" s="5"/>
      <c r="K6" s="5"/>
      <c r="L6" s="5" t="n">
        <v>10119073</v>
      </c>
      <c r="M6" s="5" t="n">
        <v>10164079</v>
      </c>
      <c r="N6" s="6" t="n">
        <f aca="false">B6+D6+F6+H6+J6+L6</f>
        <v>29462890</v>
      </c>
      <c r="O6" s="6" t="n">
        <f aca="false">C6+E6+G6+I6+K6+M6</f>
        <v>29638556</v>
      </c>
      <c r="P6" s="5" t="n">
        <f aca="false">O6-N6</f>
        <v>175666</v>
      </c>
    </row>
    <row r="7" customFormat="false" ht="15" hidden="false" customHeight="false" outlineLevel="0" collapsed="false">
      <c r="A7" s="4" t="s">
        <v>14</v>
      </c>
      <c r="B7" s="5" t="n">
        <v>49720312</v>
      </c>
      <c r="C7" s="5" t="n">
        <v>49856273</v>
      </c>
      <c r="D7" s="5" t="n">
        <v>0</v>
      </c>
      <c r="E7" s="5" t="n">
        <v>0</v>
      </c>
      <c r="F7" s="5" t="n">
        <v>7440735</v>
      </c>
      <c r="G7" s="5" t="n">
        <v>7444371</v>
      </c>
      <c r="H7" s="5" t="n">
        <v>5553265</v>
      </c>
      <c r="I7" s="5" t="n">
        <v>5532703</v>
      </c>
      <c r="J7" s="5"/>
      <c r="K7" s="5"/>
      <c r="L7" s="5" t="n">
        <v>45386595</v>
      </c>
      <c r="M7" s="5" t="n">
        <v>45608581</v>
      </c>
      <c r="N7" s="6" t="n">
        <f aca="false">B7+D7+F7+H7+J7+L7</f>
        <v>108100907</v>
      </c>
      <c r="O7" s="6" t="n">
        <f aca="false">C7+E7+G7+I7+K7+M7</f>
        <v>108441928</v>
      </c>
      <c r="P7" s="5" t="n">
        <f aca="false">O7-N7</f>
        <v>341021</v>
      </c>
    </row>
    <row r="8" customFormat="false" ht="15" hidden="false" customHeight="false" outlineLevel="0" collapsed="false">
      <c r="A8" s="4" t="s">
        <v>15</v>
      </c>
      <c r="B8" s="5" t="n">
        <v>39710860</v>
      </c>
      <c r="C8" s="5" t="n">
        <v>40134446</v>
      </c>
      <c r="D8" s="5" t="n">
        <v>2</v>
      </c>
      <c r="E8" s="5" t="n">
        <v>1</v>
      </c>
      <c r="F8" s="5" t="n">
        <v>16408115</v>
      </c>
      <c r="G8" s="5" t="n">
        <v>16460728</v>
      </c>
      <c r="H8" s="5"/>
      <c r="I8" s="5"/>
      <c r="J8" s="5" t="n">
        <v>127923</v>
      </c>
      <c r="K8" s="5" t="n">
        <v>124727</v>
      </c>
      <c r="L8" s="5" t="n">
        <v>20661804</v>
      </c>
      <c r="M8" s="5" t="n">
        <v>20740302</v>
      </c>
      <c r="N8" s="6" t="n">
        <f aca="false">B8+D8+F8+H8+J8+L8</f>
        <v>76908704</v>
      </c>
      <c r="O8" s="6" t="n">
        <f aca="false">C8+E8+G8+I8+K8+M8</f>
        <v>77460204</v>
      </c>
      <c r="P8" s="5" t="n">
        <f aca="false">O8-N8</f>
        <v>551500</v>
      </c>
    </row>
    <row r="9" customFormat="false" ht="15" hidden="false" customHeight="false" outlineLevel="0" collapsed="false">
      <c r="A9" s="4" t="s">
        <v>16</v>
      </c>
      <c r="B9" s="5" t="n">
        <v>15747678</v>
      </c>
      <c r="C9" s="5" t="n">
        <v>15838587</v>
      </c>
      <c r="D9" s="5" t="n">
        <v>0</v>
      </c>
      <c r="E9" s="5" t="n">
        <v>0</v>
      </c>
      <c r="F9" s="5" t="n">
        <v>19896431</v>
      </c>
      <c r="G9" s="5" t="n">
        <v>20007766</v>
      </c>
      <c r="H9" s="5" t="n">
        <v>3299334</v>
      </c>
      <c r="I9" s="5" t="n">
        <v>3301492</v>
      </c>
      <c r="J9" s="5"/>
      <c r="K9" s="5"/>
      <c r="L9" s="5" t="n">
        <v>33397802</v>
      </c>
      <c r="M9" s="5" t="n">
        <v>33553455</v>
      </c>
      <c r="N9" s="6" t="n">
        <f aca="false">B9+D9+F9+H9+J9+L9</f>
        <v>72341245</v>
      </c>
      <c r="O9" s="6" t="n">
        <f aca="false">C9+E9+G9+I9+K9+M9</f>
        <v>72701300</v>
      </c>
      <c r="P9" s="5" t="n">
        <f aca="false">O9-N9</f>
        <v>360055</v>
      </c>
    </row>
    <row r="10" customFormat="false" ht="15" hidden="false" customHeight="false" outlineLevel="0" collapsed="false">
      <c r="A10" s="4" t="s">
        <v>17</v>
      </c>
      <c r="B10" s="5" t="n">
        <v>7908071</v>
      </c>
      <c r="C10" s="5" t="n">
        <v>7938962</v>
      </c>
      <c r="D10" s="5" t="n">
        <v>1</v>
      </c>
      <c r="E10" s="5" t="n">
        <v>0</v>
      </c>
      <c r="F10" s="5" t="n">
        <v>6206028</v>
      </c>
      <c r="G10" s="5" t="n">
        <v>6199167</v>
      </c>
      <c r="H10" s="5" t="n">
        <v>4577770</v>
      </c>
      <c r="I10" s="5" t="n">
        <v>4649224</v>
      </c>
      <c r="J10" s="5"/>
      <c r="K10" s="5"/>
      <c r="L10" s="5" t="n">
        <v>8221663</v>
      </c>
      <c r="M10" s="5" t="n">
        <v>8270811</v>
      </c>
      <c r="N10" s="6" t="n">
        <f aca="false">B10+D10+F10+H10+J10+L10</f>
        <v>26913533</v>
      </c>
      <c r="O10" s="6" t="n">
        <f aca="false">C10+E10+G10+I10+K10+M10</f>
        <v>27058164</v>
      </c>
      <c r="P10" s="5" t="n">
        <f aca="false">O10-N10</f>
        <v>144631</v>
      </c>
    </row>
    <row r="11" customFormat="false" ht="15" hidden="false" customHeight="false" outlineLevel="0" collapsed="false">
      <c r="A11" s="4" t="s">
        <v>18</v>
      </c>
      <c r="B11" s="5" t="n">
        <v>3624363</v>
      </c>
      <c r="C11" s="5" t="n">
        <v>3625894</v>
      </c>
      <c r="D11" s="5" t="n">
        <v>0</v>
      </c>
      <c r="E11" s="5" t="n">
        <v>0</v>
      </c>
      <c r="F11" s="5" t="n">
        <v>396159</v>
      </c>
      <c r="G11" s="5" t="n">
        <v>394020</v>
      </c>
      <c r="H11" s="5" t="n">
        <v>1789147</v>
      </c>
      <c r="I11" s="5" t="n">
        <v>1795583</v>
      </c>
      <c r="J11" s="5"/>
      <c r="K11" s="5"/>
      <c r="L11" s="5" t="n">
        <v>3592071</v>
      </c>
      <c r="M11" s="5" t="n">
        <v>3603233</v>
      </c>
      <c r="N11" s="6" t="n">
        <f aca="false">B11+D11+F11+H11+J11+L11</f>
        <v>9401740</v>
      </c>
      <c r="O11" s="6" t="n">
        <f aca="false">C11+E11+G11+I11+K11+M11</f>
        <v>9418730</v>
      </c>
      <c r="P11" s="5" t="n">
        <f aca="false">O11-N11</f>
        <v>16990</v>
      </c>
    </row>
    <row r="12" customFormat="false" ht="15" hidden="false" customHeight="false" outlineLevel="0" collapsed="false">
      <c r="A12" s="4" t="s">
        <v>19</v>
      </c>
      <c r="B12" s="5" t="n">
        <v>6837398</v>
      </c>
      <c r="C12" s="5" t="n">
        <v>7021123</v>
      </c>
      <c r="D12" s="5" t="n">
        <v>0</v>
      </c>
      <c r="E12" s="5" t="n">
        <v>0</v>
      </c>
      <c r="F12" s="5" t="n">
        <v>284997</v>
      </c>
      <c r="G12" s="5" t="n">
        <v>281761</v>
      </c>
      <c r="H12" s="5" t="n">
        <v>854021</v>
      </c>
      <c r="I12" s="5" t="n">
        <v>857909</v>
      </c>
      <c r="J12" s="5"/>
      <c r="K12" s="5"/>
      <c r="L12" s="5" t="n">
        <v>5749073</v>
      </c>
      <c r="M12" s="5" t="n">
        <v>5848439</v>
      </c>
      <c r="N12" s="6" t="n">
        <f aca="false">B12+D12+F12+H12+J12+L12</f>
        <v>13725489</v>
      </c>
      <c r="O12" s="6" t="n">
        <f aca="false">C12+E12+G12+I12+K12+M12</f>
        <v>14009232</v>
      </c>
      <c r="P12" s="5" t="n">
        <f aca="false">O12-N12</f>
        <v>283743</v>
      </c>
    </row>
    <row r="13" customFormat="false" ht="15" hidden="false" customHeight="false" outlineLevel="0" collapsed="false">
      <c r="A13" s="4" t="s">
        <v>20</v>
      </c>
      <c r="B13" s="5" t="n">
        <v>44450844</v>
      </c>
      <c r="C13" s="5" t="n">
        <v>44658497</v>
      </c>
      <c r="D13" s="5" t="n">
        <v>75</v>
      </c>
      <c r="E13" s="5" t="n">
        <v>53</v>
      </c>
      <c r="F13" s="5" t="n">
        <v>7620337</v>
      </c>
      <c r="G13" s="5" t="n">
        <v>7683472</v>
      </c>
      <c r="H13" s="5" t="n">
        <v>4739380</v>
      </c>
      <c r="I13" s="5" t="n">
        <v>4746383</v>
      </c>
      <c r="J13" s="5"/>
      <c r="K13" s="5"/>
      <c r="L13" s="5" t="n">
        <v>26665384</v>
      </c>
      <c r="M13" s="5" t="n">
        <v>26761089</v>
      </c>
      <c r="N13" s="6" t="n">
        <f aca="false">B13+D13+F13+H13+J13+L13</f>
        <v>83476020</v>
      </c>
      <c r="O13" s="6" t="n">
        <f aca="false">C13+E13+G13+I13+K13+M13</f>
        <v>83849494</v>
      </c>
      <c r="P13" s="5" t="n">
        <f aca="false">O13-N13</f>
        <v>373474</v>
      </c>
    </row>
    <row r="14" customFormat="false" ht="15" hidden="false" customHeight="false" outlineLevel="0" collapsed="false">
      <c r="A14" s="4" t="s">
        <v>21</v>
      </c>
      <c r="B14" s="5" t="n">
        <v>9748800</v>
      </c>
      <c r="C14" s="5" t="n">
        <v>9785939</v>
      </c>
      <c r="D14" s="5" t="n">
        <v>3</v>
      </c>
      <c r="E14" s="5" t="n">
        <v>3</v>
      </c>
      <c r="F14" s="5" t="n">
        <v>12750255</v>
      </c>
      <c r="G14" s="5" t="n">
        <v>12792244</v>
      </c>
      <c r="H14" s="5" t="n">
        <v>8970872</v>
      </c>
      <c r="I14" s="5" t="n">
        <v>8981297</v>
      </c>
      <c r="J14" s="5"/>
      <c r="K14" s="5"/>
      <c r="L14" s="5" t="n">
        <v>11143678</v>
      </c>
      <c r="M14" s="5" t="n">
        <v>11193819</v>
      </c>
      <c r="N14" s="6" t="n">
        <f aca="false">B14+D14+F14+H14+J14+L14</f>
        <v>42613608</v>
      </c>
      <c r="O14" s="6" t="n">
        <f aca="false">C14+E14+G14+I14+K14+M14</f>
        <v>42753302</v>
      </c>
      <c r="P14" s="5" t="n">
        <f aca="false">O14-N14</f>
        <v>139694</v>
      </c>
    </row>
    <row r="15" customFormat="false" ht="15" hidden="false" customHeight="false" outlineLevel="0" collapsed="false">
      <c r="A15" s="4" t="s">
        <v>22</v>
      </c>
      <c r="B15" s="5" t="n">
        <v>6020324</v>
      </c>
      <c r="C15" s="5" t="n">
        <v>6044270</v>
      </c>
      <c r="D15" s="5" t="n">
        <v>0</v>
      </c>
      <c r="E15" s="5" t="n">
        <v>0</v>
      </c>
      <c r="F15" s="5" t="n">
        <v>4542132</v>
      </c>
      <c r="G15" s="5" t="n">
        <v>4533842</v>
      </c>
      <c r="H15" s="5" t="n">
        <v>1427641</v>
      </c>
      <c r="I15" s="5" t="n">
        <v>1421235</v>
      </c>
      <c r="J15" s="5"/>
      <c r="K15" s="5"/>
      <c r="L15" s="5" t="n">
        <v>11100615</v>
      </c>
      <c r="M15" s="5" t="n">
        <v>11098252</v>
      </c>
      <c r="N15" s="6" t="n">
        <f aca="false">B15+D15+F15+H15+J15+L15</f>
        <v>23090712</v>
      </c>
      <c r="O15" s="6" t="n">
        <f aca="false">C15+E15+G15+I15+K15+M15</f>
        <v>23097599</v>
      </c>
      <c r="P15" s="5" t="n">
        <f aca="false">O15-N15</f>
        <v>6887</v>
      </c>
    </row>
    <row r="16" customFormat="false" ht="15" hidden="false" customHeight="false" outlineLevel="0" collapsed="false">
      <c r="A16" s="4" t="s">
        <v>23</v>
      </c>
      <c r="B16" s="5" t="n">
        <v>18558123</v>
      </c>
      <c r="C16" s="5" t="n">
        <v>18612142</v>
      </c>
      <c r="D16" s="5" t="n">
        <v>0</v>
      </c>
      <c r="E16" s="5" t="n">
        <v>0</v>
      </c>
      <c r="F16" s="5" t="n">
        <v>12441469</v>
      </c>
      <c r="G16" s="5" t="n">
        <v>12401509</v>
      </c>
      <c r="H16" s="5" t="n">
        <v>5132545</v>
      </c>
      <c r="I16" s="5" t="n">
        <v>5128546</v>
      </c>
      <c r="J16" s="5"/>
      <c r="K16" s="5"/>
      <c r="L16" s="5" t="n">
        <v>50272816</v>
      </c>
      <c r="M16" s="5" t="n">
        <v>50568363</v>
      </c>
      <c r="N16" s="6" t="n">
        <f aca="false">B16+D16+F16+H16+J16+L16</f>
        <v>86404953</v>
      </c>
      <c r="O16" s="6" t="n">
        <f aca="false">C16+E16+G16+I16+K16+M16</f>
        <v>86710560</v>
      </c>
      <c r="P16" s="5" t="n">
        <f aca="false">O16-N16</f>
        <v>305607</v>
      </c>
    </row>
    <row r="17" customFormat="false" ht="15" hidden="false" customHeight="false" outlineLevel="0" collapsed="false">
      <c r="A17" s="4" t="s">
        <v>24</v>
      </c>
      <c r="B17" s="5" t="n">
        <v>33220613</v>
      </c>
      <c r="C17" s="5" t="n">
        <v>33739307</v>
      </c>
      <c r="D17" s="5" t="n">
        <v>0</v>
      </c>
      <c r="E17" s="5" t="n">
        <v>0</v>
      </c>
      <c r="F17" s="5" t="n">
        <v>20581895</v>
      </c>
      <c r="G17" s="5" t="n">
        <v>20640388</v>
      </c>
      <c r="H17" s="5" t="n">
        <v>5284267</v>
      </c>
      <c r="I17" s="5" t="n">
        <v>5288701</v>
      </c>
      <c r="J17" s="5"/>
      <c r="K17" s="5"/>
      <c r="L17" s="5" t="n">
        <v>44467631</v>
      </c>
      <c r="M17" s="5" t="n">
        <v>44483815</v>
      </c>
      <c r="N17" s="6" t="n">
        <f aca="false">B17+D17+F17+H17+J17+L17</f>
        <v>103554406</v>
      </c>
      <c r="O17" s="6" t="n">
        <f aca="false">C17+E17+G17+I17+K17+M17</f>
        <v>104152211</v>
      </c>
      <c r="P17" s="5" t="n">
        <f aca="false">O17-N17</f>
        <v>597805</v>
      </c>
    </row>
    <row r="18" customFormat="false" ht="15" hidden="false" customHeight="false" outlineLevel="0" collapsed="false">
      <c r="A18" s="4" t="s">
        <v>25</v>
      </c>
      <c r="B18" s="5" t="n">
        <v>16206457</v>
      </c>
      <c r="C18" s="5" t="n">
        <v>16336019</v>
      </c>
      <c r="D18" s="5" t="n">
        <v>40</v>
      </c>
      <c r="E18" s="5" t="n">
        <v>43</v>
      </c>
      <c r="F18" s="5" t="n">
        <v>10712900</v>
      </c>
      <c r="G18" s="5" t="n">
        <v>10700639</v>
      </c>
      <c r="H18" s="5"/>
      <c r="I18" s="5"/>
      <c r="J18" s="5" t="n">
        <v>49838</v>
      </c>
      <c r="K18" s="5" t="n">
        <v>41750</v>
      </c>
      <c r="L18" s="5" t="n">
        <v>13342742</v>
      </c>
      <c r="M18" s="5" t="n">
        <v>13446132</v>
      </c>
      <c r="N18" s="6" t="n">
        <f aca="false">B18+D18+F18+H18+J18+L18</f>
        <v>40311977</v>
      </c>
      <c r="O18" s="6" t="n">
        <f aca="false">C18+E18+G18+I18+K18+M18</f>
        <v>40524583</v>
      </c>
      <c r="P18" s="5" t="n">
        <f aca="false">O18-N18</f>
        <v>212606</v>
      </c>
    </row>
    <row r="19" customFormat="false" ht="15" hidden="false" customHeight="false" outlineLevel="0" collapsed="false">
      <c r="A19" s="4" t="s">
        <v>26</v>
      </c>
      <c r="B19" s="5" t="n">
        <v>6789479</v>
      </c>
      <c r="C19" s="5" t="n">
        <v>6809337</v>
      </c>
      <c r="D19" s="5" t="n">
        <v>0</v>
      </c>
      <c r="E19" s="5" t="n">
        <v>0</v>
      </c>
      <c r="F19" s="5" t="n">
        <v>597071</v>
      </c>
      <c r="G19" s="5" t="n">
        <v>596025</v>
      </c>
      <c r="H19" s="5" t="n">
        <v>1296289</v>
      </c>
      <c r="I19" s="5" t="n">
        <v>1291691</v>
      </c>
      <c r="J19" s="5"/>
      <c r="K19" s="5"/>
      <c r="L19" s="5" t="n">
        <v>4693114</v>
      </c>
      <c r="M19" s="5" t="n">
        <v>4702354</v>
      </c>
      <c r="N19" s="6" t="n">
        <f aca="false">B19+D19+F19+H19+J19+L19</f>
        <v>13375953</v>
      </c>
      <c r="O19" s="6" t="n">
        <f aca="false">C19+E19+G19+I19+K19+M19</f>
        <v>13399407</v>
      </c>
      <c r="P19" s="5" t="n">
        <f aca="false">O19-N19</f>
        <v>23454</v>
      </c>
    </row>
    <row r="20" customFormat="false" ht="15" hidden="false" customHeight="false" outlineLevel="0" collapsed="false">
      <c r="A20" s="4" t="s">
        <v>27</v>
      </c>
      <c r="B20" s="5" t="n">
        <v>13370540</v>
      </c>
      <c r="C20" s="5" t="n">
        <v>13384173</v>
      </c>
      <c r="D20" s="5" t="n">
        <v>0</v>
      </c>
      <c r="E20" s="5" t="n">
        <v>0</v>
      </c>
      <c r="F20" s="5" t="n">
        <v>1525249</v>
      </c>
      <c r="G20" s="5" t="n">
        <v>1544134</v>
      </c>
      <c r="H20" s="5" t="n">
        <v>5499804</v>
      </c>
      <c r="I20" s="5" t="n">
        <v>5496126</v>
      </c>
      <c r="J20" s="5"/>
      <c r="K20" s="5"/>
      <c r="L20" s="5" t="n">
        <v>18064429</v>
      </c>
      <c r="M20" s="5" t="n">
        <v>18177455</v>
      </c>
      <c r="N20" s="6" t="n">
        <f aca="false">B20+D20+F20+H20+J20+L20</f>
        <v>38460022</v>
      </c>
      <c r="O20" s="6" t="n">
        <f aca="false">C20+E20+G20+I20+K20+M20</f>
        <v>38601888</v>
      </c>
      <c r="P20" s="5" t="n">
        <f aca="false">O20-N20</f>
        <v>141866</v>
      </c>
    </row>
    <row r="21" customFormat="false" ht="15" hidden="false" customHeight="false" outlineLevel="0" collapsed="false">
      <c r="A21" s="4" t="s">
        <v>28</v>
      </c>
      <c r="B21" s="5" t="n">
        <v>14089157</v>
      </c>
      <c r="C21" s="5" t="n">
        <v>14146751</v>
      </c>
      <c r="D21" s="5" t="n">
        <v>5</v>
      </c>
      <c r="E21" s="5" t="n">
        <v>5</v>
      </c>
      <c r="F21" s="5" t="n">
        <v>5617168</v>
      </c>
      <c r="G21" s="5" t="n">
        <v>5591155</v>
      </c>
      <c r="H21" s="5" t="n">
        <v>4104876</v>
      </c>
      <c r="I21" s="5" t="n">
        <v>4105142</v>
      </c>
      <c r="J21" s="5"/>
      <c r="K21" s="5"/>
      <c r="L21" s="5" t="n">
        <v>11755036</v>
      </c>
      <c r="M21" s="5" t="n">
        <v>11769733</v>
      </c>
      <c r="N21" s="6" t="n">
        <f aca="false">B21+D21+F21+H21+J21+L21</f>
        <v>35566242</v>
      </c>
      <c r="O21" s="6" t="n">
        <f aca="false">C21+E21+G21+I21+K21+M21</f>
        <v>35612786</v>
      </c>
      <c r="P21" s="5" t="n">
        <f aca="false">O21-N21</f>
        <v>46544</v>
      </c>
    </row>
    <row r="22" customFormat="false" ht="15" hidden="false" customHeight="false" outlineLevel="0" collapsed="false">
      <c r="A22" s="4" t="s">
        <v>29</v>
      </c>
      <c r="B22" s="5" t="n">
        <v>26261236</v>
      </c>
      <c r="C22" s="5" t="n">
        <v>26324143</v>
      </c>
      <c r="D22" s="5" t="n">
        <v>35</v>
      </c>
      <c r="E22" s="5" t="n">
        <v>34</v>
      </c>
      <c r="F22" s="5" t="n">
        <v>8212020</v>
      </c>
      <c r="G22" s="5" t="n">
        <v>8167562</v>
      </c>
      <c r="H22" s="5" t="n">
        <v>5757236</v>
      </c>
      <c r="I22" s="5" t="n">
        <v>5789648</v>
      </c>
      <c r="J22" s="5"/>
      <c r="K22" s="5"/>
      <c r="L22" s="5" t="n">
        <v>28074665</v>
      </c>
      <c r="M22" s="5" t="n">
        <v>28257109</v>
      </c>
      <c r="N22" s="6" t="n">
        <f aca="false">B22+D22+F22+H22+J22+L22</f>
        <v>68305192</v>
      </c>
      <c r="O22" s="6" t="n">
        <f aca="false">C22+E22+G22+I22+K22+M22</f>
        <v>68538496</v>
      </c>
      <c r="P22" s="5" t="n">
        <f aca="false">O22-N22</f>
        <v>233304</v>
      </c>
    </row>
    <row r="23" customFormat="false" ht="15" hidden="false" customHeight="false" outlineLevel="0" collapsed="false">
      <c r="A23" s="4" t="s">
        <v>30</v>
      </c>
      <c r="B23" s="5" t="n">
        <v>33412949</v>
      </c>
      <c r="C23" s="5" t="n">
        <v>33648424</v>
      </c>
      <c r="D23" s="5" t="n">
        <v>0</v>
      </c>
      <c r="E23" s="5" t="n">
        <v>0</v>
      </c>
      <c r="F23" s="5" t="n">
        <v>14201784</v>
      </c>
      <c r="G23" s="5" t="n">
        <v>14165098</v>
      </c>
      <c r="H23" s="5" t="n">
        <v>7906366</v>
      </c>
      <c r="I23" s="5" t="n">
        <v>7875683</v>
      </c>
      <c r="J23" s="5"/>
      <c r="K23" s="5"/>
      <c r="L23" s="5" t="n">
        <v>25096131</v>
      </c>
      <c r="M23" s="5" t="n">
        <v>25263846</v>
      </c>
      <c r="N23" s="6" t="n">
        <f aca="false">B23+D23+F23+H23+J23+L23</f>
        <v>80617230</v>
      </c>
      <c r="O23" s="6" t="n">
        <f aca="false">C23+E23+G23+I23+K23+M23</f>
        <v>80953051</v>
      </c>
      <c r="P23" s="5" t="n">
        <f aca="false">O23-N23</f>
        <v>335821</v>
      </c>
    </row>
    <row r="24" customFormat="false" ht="15" hidden="false" customHeight="false" outlineLevel="0" collapsed="false">
      <c r="A24" s="4" t="s">
        <v>31</v>
      </c>
      <c r="B24" s="5" t="n">
        <v>41649868</v>
      </c>
      <c r="C24" s="5" t="n">
        <v>41710382</v>
      </c>
      <c r="D24" s="5" t="n">
        <v>0</v>
      </c>
      <c r="E24" s="5" t="n">
        <v>0</v>
      </c>
      <c r="F24" s="5" t="n">
        <v>16403959</v>
      </c>
      <c r="G24" s="5" t="n">
        <v>16581204</v>
      </c>
      <c r="H24" s="5" t="n">
        <v>8457382</v>
      </c>
      <c r="I24" s="5" t="n">
        <v>8452682</v>
      </c>
      <c r="J24" s="5"/>
      <c r="K24" s="5"/>
      <c r="L24" s="5" t="n">
        <v>44687286</v>
      </c>
      <c r="M24" s="5" t="n">
        <v>44822268</v>
      </c>
      <c r="N24" s="6" t="n">
        <f aca="false">B24+D24+F24+H24+J24+L24</f>
        <v>111198495</v>
      </c>
      <c r="O24" s="6" t="n">
        <f aca="false">C24+E24+G24+I24+K24+M24</f>
        <v>111566536</v>
      </c>
      <c r="P24" s="5" t="n">
        <f aca="false">O24-N24</f>
        <v>368041</v>
      </c>
    </row>
    <row r="25" customFormat="false" ht="15" hidden="false" customHeight="false" outlineLevel="0" collapsed="false">
      <c r="A25" s="4" t="s">
        <v>32</v>
      </c>
      <c r="B25" s="5" t="n">
        <v>23203685</v>
      </c>
      <c r="C25" s="5" t="n">
        <v>23343743</v>
      </c>
      <c r="D25" s="5" t="n">
        <v>0</v>
      </c>
      <c r="E25" s="5" t="n">
        <v>0</v>
      </c>
      <c r="F25" s="5" t="n">
        <v>12358584</v>
      </c>
      <c r="G25" s="5" t="n">
        <v>12230557</v>
      </c>
      <c r="H25" s="5" t="n">
        <v>5169858</v>
      </c>
      <c r="I25" s="5" t="n">
        <v>5177442</v>
      </c>
      <c r="J25" s="5"/>
      <c r="K25" s="5"/>
      <c r="L25" s="5" t="n">
        <v>26207243</v>
      </c>
      <c r="M25" s="5" t="n">
        <v>26183935</v>
      </c>
      <c r="N25" s="6" t="n">
        <f aca="false">B25+D25+F25+H25+J25+L25</f>
        <v>66939370</v>
      </c>
      <c r="O25" s="6" t="n">
        <f aca="false">C25+E25+G25+I25+K25+M25</f>
        <v>66935677</v>
      </c>
      <c r="P25" s="5" t="n">
        <f aca="false">O25-N25</f>
        <v>-3693</v>
      </c>
    </row>
    <row r="26" customFormat="false" ht="15" hidden="false" customHeight="false" outlineLevel="0" collapsed="false">
      <c r="A26" s="4" t="s">
        <v>33</v>
      </c>
      <c r="B26" s="5" t="n">
        <v>19258903</v>
      </c>
      <c r="C26" s="5" t="n">
        <v>19376456</v>
      </c>
      <c r="D26" s="5" t="n">
        <v>1</v>
      </c>
      <c r="E26" s="5" t="n">
        <v>1</v>
      </c>
      <c r="F26" s="5" t="n">
        <v>10210727</v>
      </c>
      <c r="G26" s="5" t="n">
        <v>10163648</v>
      </c>
      <c r="H26" s="5" t="n">
        <v>2641533</v>
      </c>
      <c r="I26" s="5" t="n">
        <v>2632670</v>
      </c>
      <c r="J26" s="5"/>
      <c r="K26" s="5"/>
      <c r="L26" s="5" t="n">
        <v>26336227</v>
      </c>
      <c r="M26" s="5" t="n">
        <v>26486442</v>
      </c>
      <c r="N26" s="6" t="n">
        <f aca="false">B26+D26+F26+H26+J26+L26</f>
        <v>58447391</v>
      </c>
      <c r="O26" s="6" t="n">
        <f aca="false">C26+E26+G26+I26+K26+M26</f>
        <v>58659217</v>
      </c>
      <c r="P26" s="5" t="n">
        <f aca="false">O26-N26</f>
        <v>211826</v>
      </c>
    </row>
    <row r="27" customFormat="false" ht="15" hidden="false" customHeight="false" outlineLevel="0" collapsed="false">
      <c r="A27" s="7" t="s">
        <v>8</v>
      </c>
      <c r="B27" s="8" t="n">
        <f aca="false">SUM(B5:B26)</f>
        <v>483809981</v>
      </c>
      <c r="C27" s="8" t="n">
        <f aca="false">SUM(C5:C26)</f>
        <v>486799957</v>
      </c>
      <c r="D27" s="8" t="n">
        <f aca="false">SUM(D5:D26)</f>
        <v>162</v>
      </c>
      <c r="E27" s="8" t="n">
        <f aca="false">SUM(E5:E26)</f>
        <v>140</v>
      </c>
      <c r="F27" s="8" t="n">
        <f aca="false">SUM(F5:F26)</f>
        <v>198659341</v>
      </c>
      <c r="G27" s="8" t="n">
        <f aca="false">SUM(G5:G26)</f>
        <v>198823098</v>
      </c>
      <c r="H27" s="8" t="n">
        <f aca="false">SUM(H5:H26)</f>
        <v>92914988</v>
      </c>
      <c r="I27" s="8" t="n">
        <f aca="false">SUM(I5:I26)</f>
        <v>93008994</v>
      </c>
      <c r="J27" s="8" t="n">
        <f aca="false">SUM(J5:J26)</f>
        <v>177761</v>
      </c>
      <c r="K27" s="8" t="n">
        <f aca="false">SUM(K5:K26)</f>
        <v>166477</v>
      </c>
      <c r="L27" s="8" t="n">
        <f aca="false">SUM(L5:L26)</f>
        <v>501436636</v>
      </c>
      <c r="M27" s="8" t="n">
        <f aca="false">SUM(M5:M26)</f>
        <v>503583616</v>
      </c>
      <c r="N27" s="8" t="n">
        <f aca="false">SUM(N5:N26)</f>
        <v>1276998869</v>
      </c>
      <c r="O27" s="8" t="n">
        <f aca="false">SUM(O5:O26)</f>
        <v>1282382282</v>
      </c>
      <c r="P27" s="8" t="n">
        <f aca="false">SUM(P5:P26)</f>
        <v>5383413</v>
      </c>
    </row>
    <row r="28" customFormat="false" ht="15" hidden="false" customHeight="false" outlineLevel="0" collapsed="false">
      <c r="A28" s="9" t="s">
        <v>34</v>
      </c>
      <c r="B28" s="10"/>
      <c r="C28" s="11" t="n">
        <f aca="false">C27-B27</f>
        <v>2989976</v>
      </c>
      <c r="D28" s="10"/>
      <c r="E28" s="11" t="n">
        <f aca="false">E27-D27</f>
        <v>-22</v>
      </c>
      <c r="F28" s="10"/>
      <c r="G28" s="11" t="n">
        <f aca="false">G27-F27</f>
        <v>163757</v>
      </c>
      <c r="H28" s="10"/>
      <c r="I28" s="11" t="n">
        <f aca="false">I27-H27</f>
        <v>94006</v>
      </c>
      <c r="J28" s="10"/>
      <c r="K28" s="11" t="n">
        <f aca="false">K27-J27</f>
        <v>-11284</v>
      </c>
      <c r="L28" s="10"/>
      <c r="M28" s="11" t="n">
        <f aca="false">M27-L27</f>
        <v>2146980</v>
      </c>
      <c r="N28" s="10"/>
      <c r="O28" s="10"/>
      <c r="P28" s="12" t="n">
        <f aca="false">P27</f>
        <v>5383413</v>
      </c>
    </row>
    <row r="29" customFormat="false" ht="15" hidden="false" customHeight="false" outlineLevel="0" collapsed="false">
      <c r="A29" s="13" t="s">
        <v>35</v>
      </c>
      <c r="B29" s="14" t="n">
        <v>200599944</v>
      </c>
      <c r="C29" s="14" t="n">
        <v>200712899</v>
      </c>
      <c r="D29" s="14" t="n">
        <v>0</v>
      </c>
      <c r="E29" s="14" t="n">
        <v>0</v>
      </c>
      <c r="F29" s="14" t="n">
        <v>93080793</v>
      </c>
      <c r="G29" s="14" t="n">
        <v>93259906</v>
      </c>
      <c r="H29" s="14" t="n">
        <v>29878621</v>
      </c>
      <c r="I29" s="14" t="n">
        <v>29852465</v>
      </c>
      <c r="J29" s="14" t="n">
        <v>2674</v>
      </c>
      <c r="K29" s="14" t="n">
        <v>2607</v>
      </c>
      <c r="L29" s="14" t="n">
        <v>218802413</v>
      </c>
      <c r="M29" s="14" t="n">
        <v>219124174</v>
      </c>
      <c r="N29" s="15" t="n">
        <f aca="false">B29+D29+F29+H29+J29+L29</f>
        <v>542364445</v>
      </c>
      <c r="O29" s="15" t="n">
        <f aca="false">C29+E29+G29+I29+K29+M29</f>
        <v>542952051</v>
      </c>
      <c r="P29" s="14" t="n">
        <f aca="false">O29-N29</f>
        <v>587606</v>
      </c>
    </row>
    <row r="31" customFormat="false" ht="15" hidden="false" customHeight="false" outlineLevel="0" collapsed="false">
      <c r="A31" s="16" t="s">
        <v>36</v>
      </c>
    </row>
  </sheetData>
  <mergeCells count="10">
    <mergeCell ref="A1:P1"/>
    <mergeCell ref="A3:A4"/>
    <mergeCell ref="B3:C3"/>
    <mergeCell ref="D3:E3"/>
    <mergeCell ref="F3:G3"/>
    <mergeCell ref="H3:I3"/>
    <mergeCell ref="J3:K3"/>
    <mergeCell ref="L3:M3"/>
    <mergeCell ref="N3:O3"/>
    <mergeCell ref="P3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2026-08-11T09:17:25Z</dcterms:created>
  <dc:creator>openpyxl</dc:creator>
  <dc:description/>
  <dc:language>en-US</dc:language>
  <cp:lastModifiedBy/>
  <dcterms:modified xsi:type="dcterms:W3CDTF">2026-08-11T09:17:26Z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